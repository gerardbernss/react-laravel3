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ntt" sheetId="1" r:id="rId1"/>
  </sheets>
  <calcPr fullCalcOnLoad="1" calcId="0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4">
    <font>
      <sz val="10"/>
      <name val="Arial"/>
    </font>
    <font>
      <b/>
      <sz val="10"/>
      <name val="Arial"/>
    </font>
    <font>
      <sz val="10"/>
      <color rgb="FF0000FF"/>
      <name val="Arial"/>
    </font>
    <font>
      <b/>
      <sz val="9"/>
      <color rgb="FF808080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/>
    <xf numFmtId="165" fontId="1" fillId="4" borderId="1" xfId="0" applyNumberFormat="1" applyFont="1" applyFill="1" applyBorder="1">
      <alignment horizontal="center"/>
    </xf>
    <xf numFmtId="164" fontId="2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>
      <alignment horizontal="center"/>
    </xf>
    <xf numFmtId="0" fontId="1" fillId="0" borderId="0" xfId="0" applyFont="1"/>
    <xf numFmtId="0" fontId="0" fillId="0" borderId="0" xfId="0">
      <alignment indent="1"/>
    </xf>
    <xf numFmtId="0" fontId="0" fillId="5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4">
    <dxf>
      <fill>
        <patternFill>
          <bgColor rgb="FF80808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 summaryBelow="0"/>
  </sheetPr>
  <dimension ref="A1:O43"/>
  <sheetViews>
    <sheetView tabSelected="1" workbookViewId="0">
      <pane xSplit="5" ySplit="2" topLeftCell="F3" activePane="bottomRight" state="frozen"/>
      <selection pane="bottomRight" activeCell="F3" sqref="F3"/>
    </sheetView>
  </sheetViews>
  <sheetFormatPr defaultRowHeight="15" outlineLevelRow="1"/>
  <cols>
    <col min="1" max="1" width="26" customWidth="1"/>
    <col min="2" max="2" width="13" customWidth="1"/>
    <col min="3" max="3" width="12" customWidth="1"/>
    <col min="4" max="4" width="12" customWidth="1"/>
    <col min="5" max="5" width="11" customWidth="1"/>
    <col min="6" max="15" width="10" customWidth="1"/>
  </cols>
  <sheetData>
    <row r="1">
      <c r="A1" s="1" t="inlineStr">
        <is>
          <t>Task name</t>
        </is>
      </c>
      <c r="B1" s="1" t="inlineStr">
        <is>
          <t>Status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 (days)</t>
        </is>
      </c>
      <c r="F1" s="2">
        <v>45901</v>
      </c>
      <c r="G1" s="2">
        <v>45931</v>
      </c>
      <c r="H1" s="2">
        <v>45962</v>
      </c>
      <c r="I1" s="2">
        <v>45992</v>
      </c>
      <c r="J1" s="2">
        <v>46023</v>
      </c>
      <c r="K1" s="2">
        <v>46054</v>
      </c>
      <c r="L1" s="2">
        <v>46082</v>
      </c>
      <c r="M1" s="2">
        <v>46113</v>
      </c>
      <c r="N1" s="2">
        <v>46143</v>
      </c>
      <c r="O1" s="2">
        <v>46174</v>
      </c>
    </row>
    <row r="2">
      <c r="F2" s="7">
        <f>IF(AND(TODAY()&gt;=F1,TODAY()&lt;=EOMONTH(F1,0)),"Today","")</f>
      </c>
      <c r="G2" s="7">
        <f>IF(AND(TODAY()&gt;=G1,TODAY()&lt;=EOMONTH(G1,0)),"Today","")</f>
      </c>
      <c r="H2" s="7">
        <f>IF(AND(TODAY()&gt;=H1,TODAY()&lt;=EOMONTH(H1,0)),"Today","")</f>
      </c>
      <c r="I2" s="7">
        <f>IF(AND(TODAY()&gt;=I1,TODAY()&lt;=EOMONTH(I1,0)),"Today","")</f>
      </c>
      <c r="J2" s="7">
        <f>IF(AND(TODAY()&gt;=J1,TODAY()&lt;=EOMONTH(J1,0)),"Today","")</f>
      </c>
      <c r="K2" s="7">
        <f>IF(AND(TODAY()&gt;=K1,TODAY()&lt;=EOMONTH(K1,0)),"Today","")</f>
      </c>
      <c r="L2" s="7">
        <f>IF(AND(TODAY()&gt;=L1,TODAY()&lt;=EOMONTH(L1,0)),"Today","")</f>
      </c>
      <c r="M2" s="7">
        <f>IF(AND(TODAY()&gt;=M1,TODAY()&lt;=EOMONTH(M1,0)),"Today","")</f>
      </c>
      <c r="N2" s="7">
        <f>IF(AND(TODAY()&gt;=N1,TODAY()&lt;=EOMONTH(N1,0)),"Today","")</f>
      </c>
      <c r="O2" s="7">
        <f>IF(AND(TODAY()&gt;=O1,TODAY()&lt;=EOMONTH(O1,0)),"Today","")</f>
      </c>
    </row>
    <row r="3">
      <c r="A3" s="8" t="inlineStr">
        <is>
          <t>Foundation</t>
        </is>
      </c>
      <c r="B3" s="6" t="inlineStr">
        <is>
          <t>Group</t>
        </is>
      </c>
      <c r="C3" s="4">
        <f>MIN(C4:C7)</f>
      </c>
      <c r="D3" s="4">
        <f>MAX(D4:D7)</f>
      </c>
      <c r="E3" s="5">
        <f>D3-C3+1</f>
      </c>
    </row>
    <row r="4" outlineLevel="1">
      <c r="A4" s="9" t="inlineStr">
        <is>
          <t>Auth</t>
        </is>
      </c>
      <c r="B4" s="6" t="inlineStr">
        <is>
          <t>Done</t>
        </is>
      </c>
      <c r="C4" s="3">
        <v>45915</v>
      </c>
      <c r="D4" s="3">
        <v>45925</v>
      </c>
      <c r="E4" s="5">
        <f>D4-C4+1</f>
      </c>
    </row>
    <row r="5" outlineLevel="1">
      <c r="A5" s="9" t="inlineStr">
        <is>
          <t>Users</t>
        </is>
      </c>
      <c r="B5" s="6" t="inlineStr">
        <is>
          <t>Done</t>
        </is>
      </c>
      <c r="C5" s="3">
        <v>45926</v>
      </c>
      <c r="D5" s="3">
        <v>45936</v>
      </c>
      <c r="E5" s="5">
        <f>D5-C5+1</f>
      </c>
    </row>
    <row r="6" outlineLevel="1">
      <c r="A6" s="9" t="inlineStr">
        <is>
          <t>Roles &amp; permissions</t>
        </is>
      </c>
      <c r="B6" s="6" t="inlineStr">
        <is>
          <t>Done</t>
        </is>
      </c>
      <c r="C6" s="3">
        <v>45937</v>
      </c>
      <c r="D6" s="3">
        <v>45947</v>
      </c>
      <c r="E6" s="5">
        <f>D6-C6+1</f>
      </c>
    </row>
    <row r="7" outlineLevel="1">
      <c r="A7" s="9" t="inlineStr">
        <is>
          <t>Google OAuth</t>
        </is>
      </c>
      <c r="B7" s="6" t="inlineStr">
        <is>
          <t>Done</t>
        </is>
      </c>
      <c r="C7" s="3">
        <v>45948</v>
      </c>
      <c r="D7" s="3">
        <v>45961</v>
      </c>
      <c r="E7" s="5">
        <f>D7-C7+1</f>
      </c>
    </row>
    <row r="8">
      <c r="A8" s="8" t="inlineStr">
        <is>
          <t>Admissions intake</t>
        </is>
      </c>
      <c r="B8" s="6" t="inlineStr">
        <is>
          <t>Group</t>
        </is>
      </c>
      <c r="C8" s="4">
        <f>MIN(C9:C12)</f>
      </c>
      <c r="D8" s="4">
        <f>MAX(D9:D12)</f>
      </c>
      <c r="E8" s="5">
        <f>D8-C8+1</f>
      </c>
    </row>
    <row r="9" outlineLevel="1">
      <c r="A9" s="9" t="inlineStr">
        <is>
          <t>Personal data</t>
        </is>
      </c>
      <c r="B9" s="6" t="inlineStr">
        <is>
          <t>Done</t>
        </is>
      </c>
      <c r="C9" s="3">
        <v>45962</v>
      </c>
      <c r="D9" s="3">
        <v>45976</v>
      </c>
      <c r="E9" s="5">
        <f>D9-C9+1</f>
      </c>
    </row>
    <row r="10" outlineLevel="1">
      <c r="A10" s="9" t="inlineStr">
        <is>
          <t>Family background</t>
        </is>
      </c>
      <c r="B10" s="6" t="inlineStr">
        <is>
          <t>Done</t>
        </is>
      </c>
      <c r="C10" s="3">
        <v>45977</v>
      </c>
      <c r="D10" s="3">
        <v>45991</v>
      </c>
      <c r="E10" s="5">
        <f>D10-C10+1</f>
      </c>
    </row>
    <row r="11" outlineLevel="1">
      <c r="A11" s="9" t="inlineStr">
        <is>
          <t>Siblings</t>
        </is>
      </c>
      <c r="B11" s="6" t="inlineStr">
        <is>
          <t>Done</t>
        </is>
      </c>
      <c r="C11" s="3">
        <v>45992</v>
      </c>
      <c r="D11" s="3">
        <v>46006</v>
      </c>
      <c r="E11" s="5">
        <f>D11-C11+1</f>
      </c>
    </row>
    <row r="12" outlineLevel="1">
      <c r="A12" s="9" t="inlineStr">
        <is>
          <t>Documents schema</t>
        </is>
      </c>
      <c r="B12" s="6" t="inlineStr">
        <is>
          <t>Done</t>
        </is>
      </c>
      <c r="C12" s="3">
        <v>46007</v>
      </c>
      <c r="D12" s="3">
        <v>46022</v>
      </c>
      <c r="E12" s="5">
        <f>D12-C12+1</f>
      </c>
    </row>
    <row r="13">
      <c r="A13" s="8" t="inlineStr">
        <is>
          <t>Admissions workflow</t>
        </is>
      </c>
      <c r="B13" s="6" t="inlineStr">
        <is>
          <t>Group</t>
        </is>
      </c>
      <c r="C13" s="4">
        <f>MIN(C14:C16)</f>
      </c>
      <c r="D13" s="4">
        <f>MAX(D14:D16)</f>
      </c>
      <c r="E13" s="5">
        <f>D13-C13+1</f>
      </c>
    </row>
    <row r="14" outlineLevel="1">
      <c r="A14" s="9" t="inlineStr">
        <is>
          <t>Admission emails</t>
        </is>
      </c>
      <c r="B14" s="6" t="inlineStr">
        <is>
          <t>Done</t>
        </is>
      </c>
      <c r="C14" s="3">
        <v>46023</v>
      </c>
      <c r="D14" s="3">
        <v>46032</v>
      </c>
      <c r="E14" s="5">
        <f>D14-C14+1</f>
      </c>
    </row>
    <row r="15" outlineLevel="1">
      <c r="A15" s="9" t="inlineStr">
        <is>
          <t>Portal credentials</t>
        </is>
      </c>
      <c r="B15" s="6" t="inlineStr">
        <is>
          <t>Done</t>
        </is>
      </c>
      <c r="C15" s="3">
        <v>46033</v>
      </c>
      <c r="D15" s="3">
        <v>46042</v>
      </c>
      <c r="E15" s="5">
        <f>D15-C15+1</f>
      </c>
    </row>
    <row r="16" outlineLevel="1">
      <c r="A16" s="9" t="inlineStr">
        <is>
          <t>Enrollment audit log</t>
        </is>
      </c>
      <c r="B16" s="6" t="inlineStr">
        <is>
          <t>Done</t>
        </is>
      </c>
      <c r="C16" s="3">
        <v>46043</v>
      </c>
      <c r="D16" s="3">
        <v>46053</v>
      </c>
      <c r="E16" s="5">
        <f>D16-C16+1</f>
      </c>
    </row>
    <row r="17">
      <c r="A17" s="8" t="inlineStr">
        <is>
          <t>Entrance exams</t>
        </is>
      </c>
      <c r="B17" s="6" t="inlineStr">
        <is>
          <t>Group</t>
        </is>
      </c>
      <c r="C17" s="4">
        <f>MIN(C18:C20)</f>
      </c>
      <c r="D17" s="4">
        <f>MAX(D18:D20)</f>
      </c>
      <c r="E17" s="5">
        <f>D17-C17+1</f>
      </c>
    </row>
    <row r="18" outlineLevel="1">
      <c r="A18" s="9" t="inlineStr">
        <is>
          <t>Exam rooms</t>
        </is>
      </c>
      <c r="B18" s="6" t="inlineStr">
        <is>
          <t>Done</t>
        </is>
      </c>
      <c r="C18" s="3">
        <v>46054</v>
      </c>
      <c r="D18" s="3">
        <v>46062</v>
      </c>
      <c r="E18" s="5">
        <f>D18-C18+1</f>
      </c>
    </row>
    <row r="19" outlineLevel="1">
      <c r="A19" s="9" t="inlineStr">
        <is>
          <t>Exam schedules</t>
        </is>
      </c>
      <c r="B19" s="6" t="inlineStr">
        <is>
          <t>Done</t>
        </is>
      </c>
      <c r="C19" s="3">
        <v>46063</v>
      </c>
      <c r="D19" s="3">
        <v>46071</v>
      </c>
      <c r="E19" s="5">
        <f>D19-C19+1</f>
      </c>
    </row>
    <row r="20" outlineLevel="1">
      <c r="A20" s="9" t="inlineStr">
        <is>
          <t>Student login &amp; password reset</t>
        </is>
      </c>
      <c r="B20" s="6" t="inlineStr">
        <is>
          <t>Done</t>
        </is>
      </c>
      <c r="C20" s="3">
        <v>46072</v>
      </c>
      <c r="D20" s="3">
        <v>46081</v>
      </c>
      <c r="E20" s="5">
        <f>D20-C20+1</f>
      </c>
    </row>
    <row r="21">
      <c r="A21" s="8" t="inlineStr">
        <is>
          <t>Student records</t>
        </is>
      </c>
      <c r="B21" s="6" t="inlineStr">
        <is>
          <t>Group</t>
        </is>
      </c>
      <c r="C21" s="4">
        <f>MIN(C22:C25)</f>
      </c>
      <c r="D21" s="4">
        <f>MAX(D22:D25)</f>
      </c>
      <c r="E21" s="5">
        <f>D21-C21+1</f>
      </c>
    </row>
    <row r="22" outlineLevel="1">
      <c r="A22" s="9" t="inlineStr">
        <is>
          <t>Student documents</t>
        </is>
      </c>
      <c r="B22" s="6" t="inlineStr">
        <is>
          <t>Done</t>
        </is>
      </c>
      <c r="C22" s="3">
        <v>46082</v>
      </c>
      <c r="D22" s="3">
        <v>46088</v>
      </c>
      <c r="E22" s="5">
        <f>D22-C22+1</f>
      </c>
    </row>
    <row r="23" outlineLevel="1">
      <c r="A23" s="9" t="inlineStr">
        <is>
          <t>Siblings</t>
        </is>
      </c>
      <c r="B23" s="6" t="inlineStr">
        <is>
          <t>Done</t>
        </is>
      </c>
      <c r="C23" s="3">
        <v>46089</v>
      </c>
      <c r="D23" s="3">
        <v>46095</v>
      </c>
      <c r="E23" s="5">
        <f>D23-C23+1</f>
      </c>
    </row>
    <row r="24" outlineLevel="1">
      <c r="A24" s="9" t="inlineStr">
        <is>
          <t>Family background</t>
        </is>
      </c>
      <c r="B24" s="6" t="inlineStr">
        <is>
          <t>Done</t>
        </is>
      </c>
      <c r="C24" s="3">
        <v>46096</v>
      </c>
      <c r="D24" s="3">
        <v>46102</v>
      </c>
      <c r="E24" s="5">
        <f>D24-C24+1</f>
      </c>
    </row>
    <row r="25" outlineLevel="1">
      <c r="A25" s="9" t="inlineStr">
        <is>
          <t>Payments</t>
        </is>
      </c>
      <c r="B25" s="6" t="inlineStr">
        <is>
          <t>Done</t>
        </is>
      </c>
      <c r="C25" s="3">
        <v>46103</v>
      </c>
      <c r="D25" s="3">
        <v>46112</v>
      </c>
      <c r="E25" s="5">
        <f>D25-C25+1</f>
      </c>
    </row>
    <row r="26">
      <c r="A26" s="8" t="inlineStr">
        <is>
          <t>Academic structure</t>
        </is>
      </c>
      <c r="B26" s="6" t="inlineStr">
        <is>
          <t>Group</t>
        </is>
      </c>
      <c r="C26" s="4">
        <f>MIN(C27:C31)</f>
      </c>
      <c r="D26" s="4">
        <f>MAX(D27:D31)</f>
      </c>
      <c r="E26" s="5">
        <f>D26-C26+1</f>
      </c>
    </row>
    <row r="27" outlineLevel="1">
      <c r="A27" s="9" t="inlineStr">
        <is>
          <t>Subjects</t>
        </is>
      </c>
      <c r="B27" s="6" t="inlineStr">
        <is>
          <t>Done</t>
        </is>
      </c>
      <c r="C27" s="3">
        <v>46113</v>
      </c>
      <c r="D27" s="3">
        <v>46118</v>
      </c>
      <c r="E27" s="5">
        <f>D27-C27+1</f>
      </c>
    </row>
    <row r="28" outlineLevel="1">
      <c r="A28" s="9" t="inlineStr">
        <is>
          <t>Programs</t>
        </is>
      </c>
      <c r="B28" s="6" t="inlineStr">
        <is>
          <t>Done</t>
        </is>
      </c>
      <c r="C28" s="3">
        <v>46119</v>
      </c>
      <c r="D28" s="3">
        <v>46124</v>
      </c>
      <c r="E28" s="5">
        <f>D28-C28+1</f>
      </c>
    </row>
    <row r="29" outlineLevel="1">
      <c r="A29" s="9" t="inlineStr">
        <is>
          <t>Fees</t>
        </is>
      </c>
      <c r="B29" s="6" t="inlineStr">
        <is>
          <t>Done</t>
        </is>
      </c>
      <c r="C29" s="3">
        <v>46125</v>
      </c>
      <c r="D29" s="3">
        <v>46130</v>
      </c>
      <c r="E29" s="5">
        <f>D29-C29+1</f>
      </c>
    </row>
    <row r="30" outlineLevel="1">
      <c r="A30" s="9" t="inlineStr">
        <is>
          <t>Block sections</t>
        </is>
      </c>
      <c r="B30" s="6" t="inlineStr">
        <is>
          <t>Done</t>
        </is>
      </c>
      <c r="C30" s="3">
        <v>46131</v>
      </c>
      <c r="D30" s="3">
        <v>46136</v>
      </c>
      <c r="E30" s="5">
        <f>D30-C30+1</f>
      </c>
    </row>
    <row r="31" outlineLevel="1">
      <c r="A31" s="9" t="inlineStr">
        <is>
          <t>Student portal pages</t>
        </is>
      </c>
      <c r="B31" s="6" t="inlineStr">
        <is>
          <t>Done</t>
        </is>
      </c>
      <c r="C31" s="3">
        <v>46137</v>
      </c>
      <c r="D31" s="3">
        <v>46142</v>
      </c>
      <c r="E31" s="5">
        <f>D31-C31+1</f>
      </c>
    </row>
    <row r="32">
      <c r="A32" s="8" t="inlineStr">
        <is>
          <t>Grading system</t>
        </is>
      </c>
      <c r="B32" s="6" t="inlineStr">
        <is>
          <t>Group</t>
        </is>
      </c>
      <c r="C32" s="4">
        <f>MIN(C33:C36)</f>
      </c>
      <c r="D32" s="4">
        <f>MAX(D33:D36)</f>
      </c>
      <c r="E32" s="5">
        <f>D32-C32+1</f>
      </c>
    </row>
    <row r="33" outlineLevel="1">
      <c r="A33" s="9" t="inlineStr">
        <is>
          <t>Gradebook</t>
        </is>
      </c>
      <c r="B33" s="6" t="inlineStr">
        <is>
          <t>Done</t>
        </is>
      </c>
      <c r="C33" s="3">
        <v>46143</v>
      </c>
      <c r="D33" s="3">
        <v>46149</v>
      </c>
      <c r="E33" s="5">
        <f>D33-C33+1</f>
      </c>
    </row>
    <row r="34" outlineLevel="1">
      <c r="A34" s="9" t="inlineStr">
        <is>
          <t>Conduct grading</t>
        </is>
      </c>
      <c r="B34" s="6" t="inlineStr">
        <is>
          <t>Done</t>
        </is>
      </c>
      <c r="C34" s="3">
        <v>46150</v>
      </c>
      <c r="D34" s="3">
        <v>46156</v>
      </c>
      <c r="E34" s="5">
        <f>D34-C34+1</f>
      </c>
    </row>
    <row r="35" outlineLevel="1">
      <c r="A35" s="9" t="inlineStr">
        <is>
          <t>Enrollment subjects</t>
        </is>
      </c>
      <c r="B35" s="6" t="inlineStr">
        <is>
          <t>Done</t>
        </is>
      </c>
      <c r="C35" s="3">
        <v>46157</v>
      </c>
      <c r="D35" s="3">
        <v>46163</v>
      </c>
      <c r="E35" s="5">
        <f>D35-C35+1</f>
      </c>
    </row>
    <row r="36" outlineLevel="1">
      <c r="A36" s="9" t="inlineStr">
        <is>
          <t>Grade validation</t>
        </is>
      </c>
      <c r="B36" s="6" t="inlineStr">
        <is>
          <t>Done</t>
        </is>
      </c>
      <c r="C36" s="3">
        <v>46164</v>
      </c>
      <c r="D36" s="3">
        <v>46173</v>
      </c>
      <c r="E36" s="5">
        <f>D36-C36+1</f>
      </c>
    </row>
    <row r="37">
      <c r="A37" s="8" t="inlineStr">
        <is>
          <t>Architecture refactor</t>
        </is>
      </c>
      <c r="B37" s="6" t="inlineStr">
        <is>
          <t>Group</t>
        </is>
      </c>
      <c r="C37" s="4">
        <f>MIN(C38:C41)</f>
      </c>
      <c r="D37" s="4">
        <f>MAX(D38:D41)</f>
      </c>
      <c r="E37" s="5">
        <f>D37-C37+1</f>
      </c>
    </row>
    <row r="38" outlineLevel="1">
      <c r="A38" s="9" t="inlineStr">
        <is>
          <t>Repositories</t>
        </is>
      </c>
      <c r="B38" s="6" t="inlineStr">
        <is>
          <t>Done</t>
        </is>
      </c>
      <c r="C38" s="3">
        <v>46174</v>
      </c>
      <c r="D38" s="3">
        <v>46181</v>
      </c>
      <c r="E38" s="5">
        <f>D38-C38+1</f>
      </c>
    </row>
    <row r="39" outlineLevel="1">
      <c r="A39" s="9" t="inlineStr">
        <is>
          <t>Services</t>
        </is>
      </c>
      <c r="B39" s="6" t="inlineStr">
        <is>
          <t>Done</t>
        </is>
      </c>
      <c r="C39" s="3">
        <v>46182</v>
      </c>
      <c r="D39" s="3">
        <v>46188</v>
      </c>
      <c r="E39" s="5">
        <f>D39-C39+1</f>
      </c>
    </row>
    <row r="40" outlineLevel="1">
      <c r="A40" s="9" t="inlineStr">
        <is>
          <t>Form Requests</t>
        </is>
      </c>
      <c r="B40" s="6" t="inlineStr">
        <is>
          <t>Done</t>
        </is>
      </c>
      <c r="C40" s="3">
        <v>46189</v>
      </c>
      <c r="D40" s="3">
        <v>46192</v>
      </c>
      <c r="E40" s="5">
        <f>D40-C40+1</f>
      </c>
    </row>
    <row r="41" outlineLevel="1">
      <c r="A41" s="9" t="inlineStr">
        <is>
          <t>Controllers</t>
        </is>
      </c>
      <c r="B41" s="6" t="inlineStr">
        <is>
          <t>In Progress</t>
        </is>
      </c>
      <c r="C41" s="3">
        <v>46193</v>
      </c>
      <c r="D41" s="4">
        <f>TODAY()</f>
      </c>
      <c r="E41" s="5">
        <f>D41-C41+1</f>
      </c>
    </row>
    <row r="43">
      <c r="A43" s="8" t="inlineStr">
        <is>
          <t>Legend:</t>
        </is>
      </c>
      <c r="B43" s="10"/>
      <c r="C43" s="0" t="inlineStr">
        <is>
          <t>Phase (rollup)</t>
        </is>
      </c>
      <c r="D43" s="11"/>
      <c r="E43" s="0" t="inlineStr">
        <is>
          <t>Done</t>
        </is>
      </c>
      <c r="F43" s="12"/>
      <c r="G43" s="0" t="inlineStr">
        <is>
          <t>In progress</t>
        </is>
      </c>
      <c r="H43" s="13"/>
      <c r="I43" s="0" t="inlineStr">
        <is>
          <t>Not started</t>
        </is>
      </c>
    </row>
  </sheetData>
  <conditionalFormatting sqref="F3:O41">
    <cfRule type="expression" dxfId="0" priority="1">
      <formula>AND($C3&lt;=EOMONTH(F$1,0),$D3&gt;=F$1,$B3="Group")</formula>
    </cfRule>
    <cfRule type="expression" dxfId="1" priority="2">
      <formula>AND($C3&lt;=EOMONTH(F$1,0),$D3&gt;=F$1,$B3="Done")</formula>
    </cfRule>
    <cfRule type="expression" dxfId="2" priority="3">
      <formula>AND($C3&lt;=EOMONTH(F$1,0),$D3&gt;=F$1,$B3="In Progress")</formula>
    </cfRule>
    <cfRule type="expression" dxfId="3" priority="4">
      <formula>AND($C3&lt;=EOMONTH(F$1,0),$D3&gt;=F$1,$B3="Not started")</formula>
    </cfRule>
  </conditionalFormatting>
  <dataValidations count="1">
    <dataValidation type="list" allowBlank="1" showInputMessage="1" showErrorMessage="1" sqref="B3:B41">
      <formula1>"Group,Done,In Progress,Not started"</formula1>
    </dataValidation>
  </dataValidations>
</worksheet>
</file>